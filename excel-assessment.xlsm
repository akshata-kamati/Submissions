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i2000tu\Downloads\"/>
    </mc:Choice>
  </mc:AlternateContent>
  <xr:revisionPtr revIDLastSave="0" documentId="13_ncr:1_{14668857-F6F5-4781-BBE3-1F89A3CAA34E}" xr6:coauthVersionLast="47" xr6:coauthVersionMax="47" xr10:uidLastSave="{00000000-0000-0000-0000-000000000000}"/>
  <bookViews>
    <workbookView xWindow="-108" yWindow="-108" windowWidth="23256" windowHeight="1257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35" i="20"/>
  <c r="C28" i="20"/>
  <c r="C24" i="20"/>
  <c r="C27" i="20"/>
  <c r="C26" i="20"/>
  <c r="C25" i="20"/>
  <c r="C29" i="20"/>
  <c r="C30" i="20"/>
  <c r="C31" i="20"/>
  <c r="C32" i="20"/>
  <c r="C33" i="20"/>
  <c r="C34" i="20"/>
  <c r="C22" i="19"/>
  <c r="H41" i="1"/>
</calcChain>
</file>

<file path=xl/sharedStrings.xml><?xml version="1.0" encoding="utf-8"?>
<sst xmlns="http://schemas.openxmlformats.org/spreadsheetml/2006/main" count="437" uniqueCount="186">
  <si>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</si>
  <si>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</si>
  <si>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</si>
  <si>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</si>
  <si>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</si>
  <si>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</si>
  <si>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</si>
  <si>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</si>
  <si>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</si>
  <si>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</si>
  <si>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</si>
  <si>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</si>
  <si>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</si>
  <si>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</si>
  <si>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</si>
  <si>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</si>
  <si>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</si>
  <si>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</si>
  <si>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</si>
  <si>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</si>
  <si>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</si>
  <si>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</si>
  <si>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</si>
  <si>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</si>
  <si>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</si>
  <si>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</si>
  <si>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</si>
  <si>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</si>
  <si>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</si>
  <si>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</si>
  <si>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</si>
  <si>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</si>
  <si>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</si>
  <si>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</si>
  <si>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</si>
  <si>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</si>
  <si>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</si>
  <si>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</si>
  <si>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</si>
  <si>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</si>
  <si>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</si>
  <si>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</si>
  <si>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</si>
  <si>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</si>
  <si>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</si>
  <si>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</si>
  <si>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</si>
  <si>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</si>
  <si>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</si>
  <si>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</si>
  <si>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</si>
  <si>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</si>
  <si>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</si>
  <si>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</si>
  <si>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</si>
  <si>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</si>
  <si>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</si>
  <si>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</si>
  <si>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</si>
  <si>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</si>
  <si>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</si>
  <si>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</si>
  <si>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</si>
  <si>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</si>
  <si>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</si>
  <si>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</si>
  <si>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</si>
  <si>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</si>
  <si>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</si>
  <si>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</si>
  <si>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</si>
  <si>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</si>
  <si>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</si>
  <si>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</si>
  <si>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</si>
  <si>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</si>
  <si>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</si>
  <si>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</si>
  <si>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</si>
  <si>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</si>
  <si>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</si>
  <si>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</si>
  <si>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</si>
  <si>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</si>
  <si>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</si>
  <si>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</si>
  <si>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</si>
  <si>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</si>
  <si>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</si>
  <si>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</si>
  <si>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</si>
  <si>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</si>
  <si>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</si>
  <si>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</si>
  <si>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</si>
  <si>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</si>
  <si>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</si>
  <si>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</si>
  <si>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</si>
  <si>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</si>
  <si>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</si>
  <si>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</si>
  <si>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</si>
  <si>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</si>
  <si>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</si>
  <si>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</si>
  <si>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</si>
  <si>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</si>
  <si>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</si>
  <si>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</si>
  <si>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</si>
  <si>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</si>
  <si>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</si>
  <si>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</si>
  <si>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</si>
  <si>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</si>
  <si>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</si>
  <si>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</si>
  <si>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</si>
  <si>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</si>
  <si>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</si>
  <si>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</si>
  <si>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</si>
  <si>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</si>
  <si>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</si>
  <si>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</si>
  <si>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</si>
  <si>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</si>
  <si>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</si>
  <si>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</si>
  <si>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</si>
  <si>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</si>
  <si>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</si>
  <si>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</si>
  <si>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</si>
  <si>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</si>
  <si>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</si>
  <si>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</si>
  <si>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</si>
  <si>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</si>
  <si>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</si>
  <si>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</si>
  <si>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</si>
  <si>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</si>
  <si>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</si>
  <si>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</si>
  <si>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</si>
  <si>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</si>
  <si>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</si>
  <si>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</si>
  <si>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</si>
  <si>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</si>
  <si>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</si>
  <si>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</si>
  <si>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</si>
  <si>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</si>
  <si>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</si>
  <si>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</si>
  <si>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</si>
  <si>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</si>
  <si>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</si>
  <si>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</si>
  <si>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</si>
  <si>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</si>
  <si>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</si>
  <si>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</si>
  <si>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</si>
  <si>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</si>
  <si>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</si>
  <si>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</si>
  <si>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</si>
  <si>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</si>
  <si>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</si>
  <si>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</si>
  <si>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</si>
  <si>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</si>
  <si>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Answers:</t>
  </si>
  <si>
    <t>Select required cells, Go to home, Conditional formatting -&gt; New rule -&gt; New formatting rule -&gt; Select format only cells that contains specific text &amp; write required data -&gt; Click on format -&gt; Go to fill &amp; choose the color -&gt; Click OK and OK.</t>
  </si>
  <si>
    <t>Select the top row, then GO to view tab, then click freeze panes &amp; then freeze the top row</t>
  </si>
  <si>
    <t>Add equal to sign SUMIF(Select the required columns," Write the specific condition", Select the required columns)</t>
  </si>
  <si>
    <t>sumif(H2:H40,"&gt;20",H2:H40)</t>
  </si>
  <si>
    <t>Select the column 'X', Right click on it -&gt; Formatt -&gt; Dates -&gt; Select the format 'YYYY-MM-DD'</t>
  </si>
  <si>
    <t>Select the required columns -&gt; then go data -&gt;select text to column -&gt; then choose delimited file type -&gt; click next -&gt; then choose the appropriate delimiter -&gt; click next -&gt; and choose the destination cell</t>
  </si>
  <si>
    <t>All 20 values must be substituted with the value '20'</t>
  </si>
  <si>
    <t>Press Cltr+H -&gt; In the dialogue box choose Replace #N/A with 20</t>
  </si>
  <si>
    <t>Sum(Range of the column)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</si>
</sst>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7</v>
      </c>
      <c r="B2" s="1">
        <v>20004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3.6</v>
      </c>
      <c r="H2" s="1">
        <v>5.4</v>
      </c>
      <c r="I2" s="1">
        <v>5.8</v>
      </c>
      <c r="J2" s="1">
        <v>-1</v>
      </c>
      <c r="K2" s="1">
        <v>-1</v>
      </c>
      <c r="L2" s="1">
        <v>-1</v>
      </c>
      <c r="M2" s="1">
        <v>7.6</v>
      </c>
      <c r="N2" s="1">
        <v>11.1</v>
      </c>
      <c r="O2" s="1">
        <v>12.2</v>
      </c>
      <c r="P2" s="1">
        <v>3.6</v>
      </c>
      <c r="Q2" s="1">
        <v>5.4</v>
      </c>
      <c r="R2" s="1">
        <v>5.8</v>
      </c>
      <c r="S2" s="1">
        <v>11.1</v>
      </c>
      <c r="T2" s="1">
        <v>12.2</v>
      </c>
      <c r="U2" s="1">
        <v>5.4</v>
      </c>
      <c r="V2" s="1">
        <v>5.8</v>
      </c>
      <c r="W2" s="1">
        <v>5.8</v>
      </c>
      <c r="X2" s="46">
        <v>45055</v>
      </c>
    </row>
    <row r="3" spans="1:24" x14ac:dyDescent="0.3">
      <c r="A3" s="1" t="s">
        <v>13</v>
      </c>
      <c r="B3" s="1">
        <v>20016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16.100000000000001</v>
      </c>
      <c r="H3" s="1">
        <v>24.1</v>
      </c>
      <c r="I3" s="1">
        <v>29.1</v>
      </c>
      <c r="J3" s="1">
        <v>-1</v>
      </c>
      <c r="K3" s="1">
        <v>-1</v>
      </c>
      <c r="L3" s="1">
        <v>-1</v>
      </c>
      <c r="M3" s="1">
        <v>32.799999999999997</v>
      </c>
      <c r="N3" s="1">
        <v>49</v>
      </c>
      <c r="O3" s="1">
        <v>59</v>
      </c>
      <c r="P3" s="1">
        <v>16.100000000000001</v>
      </c>
      <c r="Q3" s="1">
        <v>24.1</v>
      </c>
      <c r="R3" s="1">
        <v>29.1</v>
      </c>
      <c r="S3" s="1">
        <v>49</v>
      </c>
      <c r="T3" s="1">
        <v>59</v>
      </c>
      <c r="U3" s="1">
        <v>24.1</v>
      </c>
      <c r="V3" s="1">
        <v>29.1</v>
      </c>
      <c r="W3" s="1">
        <v>29.1</v>
      </c>
      <c r="X3" s="46">
        <v>45092</v>
      </c>
    </row>
    <row r="4" spans="1:24" x14ac:dyDescent="0.3">
      <c r="A4" s="1" t="s">
        <v>30</v>
      </c>
      <c r="B4" s="1">
        <v>20054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43.3</v>
      </c>
      <c r="H4" s="1">
        <v>63.6</v>
      </c>
      <c r="I4" s="1">
        <v>77.2</v>
      </c>
      <c r="J4" s="1">
        <v>-1</v>
      </c>
      <c r="K4" s="1">
        <v>-1</v>
      </c>
      <c r="L4" s="1">
        <v>-1</v>
      </c>
      <c r="M4" s="1">
        <v>87.6</v>
      </c>
      <c r="N4" s="1">
        <v>128.6</v>
      </c>
      <c r="O4" s="1">
        <v>156.4</v>
      </c>
      <c r="P4" s="1">
        <v>43.3</v>
      </c>
      <c r="Q4" s="1">
        <v>63.6</v>
      </c>
      <c r="R4" s="1">
        <v>77.2</v>
      </c>
      <c r="S4" s="1">
        <v>128.6</v>
      </c>
      <c r="T4" s="1">
        <v>156.4</v>
      </c>
      <c r="U4" s="1">
        <v>63.6</v>
      </c>
      <c r="V4" s="1">
        <v>77.2</v>
      </c>
      <c r="W4" s="1">
        <v>77.2</v>
      </c>
      <c r="X4" s="46">
        <v>45153</v>
      </c>
    </row>
    <row r="5" spans="1:24" x14ac:dyDescent="0.3">
      <c r="A5" s="1" t="s">
        <v>17</v>
      </c>
      <c r="B5" s="1">
        <v>20024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23.5</v>
      </c>
      <c r="H5" s="1">
        <v>34.700000000000003</v>
      </c>
      <c r="I5" s="1">
        <v>42.7</v>
      </c>
      <c r="J5" s="1">
        <v>-1</v>
      </c>
      <c r="K5" s="1">
        <v>-1</v>
      </c>
      <c r="L5" s="1">
        <v>-1</v>
      </c>
      <c r="M5" s="1">
        <v>47.7</v>
      </c>
      <c r="N5" s="1">
        <v>70.8</v>
      </c>
      <c r="O5" s="1">
        <v>86.6</v>
      </c>
      <c r="P5" s="1">
        <v>23.5</v>
      </c>
      <c r="Q5" s="1">
        <v>34.700000000000003</v>
      </c>
      <c r="R5" s="1">
        <v>42.7</v>
      </c>
      <c r="S5" s="1">
        <v>70.8</v>
      </c>
      <c r="T5" s="1">
        <v>86.6</v>
      </c>
      <c r="U5" s="1">
        <v>34.700000000000003</v>
      </c>
      <c r="V5" s="1">
        <v>42.7</v>
      </c>
      <c r="W5" s="1">
        <v>42.7</v>
      </c>
      <c r="X5" s="46">
        <v>45095</v>
      </c>
    </row>
    <row r="6" spans="1:24" x14ac:dyDescent="0.3">
      <c r="A6" s="1" t="s">
        <v>14</v>
      </c>
      <c r="B6" s="1">
        <v>20018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18.399999999999999</v>
      </c>
      <c r="H6" s="1">
        <v>27.5</v>
      </c>
      <c r="I6" s="1">
        <v>33.799999999999997</v>
      </c>
      <c r="J6" s="1">
        <v>-1</v>
      </c>
      <c r="K6" s="1">
        <v>-1</v>
      </c>
      <c r="L6" s="1">
        <v>-1</v>
      </c>
      <c r="M6" s="1">
        <v>37.200000000000003</v>
      </c>
      <c r="N6" s="1">
        <v>55.6</v>
      </c>
      <c r="O6" s="1">
        <v>67.900000000000006</v>
      </c>
      <c r="P6" s="1">
        <v>18.399999999999999</v>
      </c>
      <c r="Q6" s="1">
        <v>27.5</v>
      </c>
      <c r="R6" s="1">
        <v>33.799999999999997</v>
      </c>
      <c r="S6" s="1">
        <v>55.6</v>
      </c>
      <c r="T6" s="1">
        <v>67.900000000000006</v>
      </c>
      <c r="U6" s="1">
        <v>27.5</v>
      </c>
      <c r="V6" s="1">
        <v>33.799999999999997</v>
      </c>
      <c r="W6" s="1">
        <v>33.799999999999997</v>
      </c>
      <c r="X6" s="46">
        <v>45104</v>
      </c>
    </row>
    <row r="7" spans="1:24" x14ac:dyDescent="0.3">
      <c r="A7" s="1" t="s">
        <v>4</v>
      </c>
      <c r="B7" s="1">
        <v>20002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2.7</v>
      </c>
      <c r="H7" s="1">
        <v>3.6</v>
      </c>
      <c r="I7" s="1">
        <v>4.2</v>
      </c>
      <c r="J7" s="1">
        <v>-1</v>
      </c>
      <c r="K7" s="1">
        <v>-1</v>
      </c>
      <c r="L7" s="1">
        <v>-1</v>
      </c>
      <c r="M7" s="1">
        <v>5.3</v>
      </c>
      <c r="N7" s="1">
        <v>7.6</v>
      </c>
      <c r="O7" s="1">
        <v>8.9</v>
      </c>
      <c r="P7" s="1">
        <v>2.7</v>
      </c>
      <c r="Q7" s="1">
        <v>3.6</v>
      </c>
      <c r="R7" s="1">
        <v>4.2</v>
      </c>
      <c r="S7" s="1">
        <v>7.6</v>
      </c>
      <c r="T7" s="1">
        <v>8.9</v>
      </c>
      <c r="U7" s="1">
        <v>3.6</v>
      </c>
      <c r="V7" s="1">
        <v>4.2</v>
      </c>
      <c r="W7" s="1">
        <v>4.2</v>
      </c>
      <c r="X7" s="46">
        <v>45048</v>
      </c>
    </row>
    <row r="8" spans="1:24" x14ac:dyDescent="0.3">
      <c r="A8" s="1" t="s">
        <v>18</v>
      </c>
      <c r="B8" s="1">
        <v>20026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26.8</v>
      </c>
      <c r="H8" s="1">
        <v>39.299999999999997</v>
      </c>
      <c r="I8" s="1">
        <v>47.9</v>
      </c>
      <c r="J8" s="1">
        <v>-1</v>
      </c>
      <c r="K8" s="1">
        <v>-1</v>
      </c>
      <c r="L8" s="1">
        <v>-1</v>
      </c>
      <c r="M8" s="1">
        <v>54.6</v>
      </c>
      <c r="N8" s="1">
        <v>79.599999999999994</v>
      </c>
      <c r="O8" s="1">
        <v>96.8</v>
      </c>
      <c r="P8" s="1">
        <v>26.8</v>
      </c>
      <c r="Q8" s="1">
        <v>39.299999999999997</v>
      </c>
      <c r="R8" s="1">
        <v>47.9</v>
      </c>
      <c r="S8" s="1">
        <v>79.599999999999994</v>
      </c>
      <c r="T8" s="1">
        <v>96.8</v>
      </c>
      <c r="U8" s="1">
        <v>39.299999999999997</v>
      </c>
      <c r="V8" s="1">
        <v>47.9</v>
      </c>
      <c r="W8" s="1">
        <v>47.9</v>
      </c>
      <c r="X8" s="46">
        <v>45113</v>
      </c>
    </row>
    <row r="9" spans="1:24" x14ac:dyDescent="0.3">
      <c r="A9" s="1" t="s">
        <v>11</v>
      </c>
      <c r="B9" s="1">
        <v>20012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9.4</v>
      </c>
      <c r="H9" s="1">
        <v>13.8</v>
      </c>
      <c r="I9" s="1">
        <v>16.100000000000001</v>
      </c>
      <c r="J9" s="1">
        <v>-1</v>
      </c>
      <c r="K9" s="1">
        <v>-1</v>
      </c>
      <c r="L9" s="1">
        <v>-1</v>
      </c>
      <c r="M9" s="1">
        <v>19.2</v>
      </c>
      <c r="N9" s="1">
        <v>28.3</v>
      </c>
      <c r="O9" s="1">
        <v>32.799999999999997</v>
      </c>
      <c r="P9" s="1">
        <v>9.4</v>
      </c>
      <c r="Q9" s="1">
        <v>13.8</v>
      </c>
      <c r="R9" s="1">
        <v>16.100000000000001</v>
      </c>
      <c r="S9" s="1">
        <v>28.3</v>
      </c>
      <c r="T9" s="1">
        <v>32.799999999999997</v>
      </c>
      <c r="U9" s="1">
        <v>13.8</v>
      </c>
      <c r="V9" s="1">
        <v>16.100000000000001</v>
      </c>
      <c r="W9" s="1">
        <v>16.100000000000001</v>
      </c>
      <c r="X9" s="46">
        <v>45052</v>
      </c>
    </row>
    <row r="10" spans="1:24" x14ac:dyDescent="0.3">
      <c r="A10" s="1" t="s">
        <v>25</v>
      </c>
      <c r="B10" s="1">
        <v>20040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36.5</v>
      </c>
      <c r="H10" s="1">
        <v>54.6</v>
      </c>
      <c r="I10" s="1">
        <v>65.900000000000006</v>
      </c>
      <c r="J10" s="1">
        <v>-1</v>
      </c>
      <c r="K10" s="1">
        <v>-1</v>
      </c>
      <c r="L10" s="1">
        <v>-1</v>
      </c>
      <c r="M10" s="1">
        <v>73.900000000000006</v>
      </c>
      <c r="N10" s="1">
        <v>110.3</v>
      </c>
      <c r="O10" s="1">
        <v>133.4</v>
      </c>
      <c r="P10" s="1">
        <v>36.5</v>
      </c>
      <c r="Q10" s="1">
        <v>54.6</v>
      </c>
      <c r="R10" s="1">
        <v>65.900000000000006</v>
      </c>
      <c r="S10" s="1">
        <v>110.3</v>
      </c>
      <c r="T10" s="1">
        <v>133.4</v>
      </c>
      <c r="U10" s="1">
        <v>54.6</v>
      </c>
      <c r="V10" s="1">
        <v>65.900000000000006</v>
      </c>
      <c r="W10" s="1">
        <v>65.900000000000006</v>
      </c>
      <c r="X10" s="46">
        <v>45075</v>
      </c>
    </row>
    <row r="11" spans="1:24" x14ac:dyDescent="0.3">
      <c r="A11" s="1" t="s">
        <v>15</v>
      </c>
      <c r="B11" s="1">
        <v>20020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46">
        <v>45116</v>
      </c>
    </row>
    <row r="12" spans="1:24" x14ac:dyDescent="0.3">
      <c r="A12" s="1" t="s">
        <v>28</v>
      </c>
      <c r="B12" s="1">
        <v>20048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45142</v>
      </c>
    </row>
    <row r="13" spans="1:24" x14ac:dyDescent="0.3">
      <c r="A13" s="1" t="s">
        <v>19</v>
      </c>
      <c r="B13" s="1">
        <v>20028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28</v>
      </c>
      <c r="H13" s="1">
        <v>41</v>
      </c>
      <c r="I13" s="1">
        <v>50.1</v>
      </c>
      <c r="J13" s="1">
        <v>-1</v>
      </c>
      <c r="K13" s="1">
        <v>-1</v>
      </c>
      <c r="L13" s="1">
        <v>-1</v>
      </c>
      <c r="M13" s="1">
        <v>56.7</v>
      </c>
      <c r="N13" s="1">
        <v>83.2</v>
      </c>
      <c r="O13" s="1">
        <v>101.3</v>
      </c>
      <c r="P13" s="1">
        <v>28</v>
      </c>
      <c r="Q13" s="1">
        <v>41</v>
      </c>
      <c r="R13" s="1">
        <v>50.1</v>
      </c>
      <c r="S13" s="1">
        <v>83.2</v>
      </c>
      <c r="T13" s="1">
        <v>101.3</v>
      </c>
      <c r="U13" s="1">
        <v>41</v>
      </c>
      <c r="V13" s="1">
        <v>50.1</v>
      </c>
      <c r="W13" s="1">
        <v>50.1</v>
      </c>
      <c r="X13" s="46">
        <v>45063</v>
      </c>
    </row>
    <row r="14" spans="1:24" x14ac:dyDescent="0.3">
      <c r="A14" s="1" t="s">
        <v>21</v>
      </c>
      <c r="B14" s="1">
        <v>20032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29.1</v>
      </c>
      <c r="H14" s="1">
        <v>43.3</v>
      </c>
      <c r="I14" s="1">
        <v>53.7</v>
      </c>
      <c r="J14" s="1">
        <v>-1</v>
      </c>
      <c r="K14" s="1">
        <v>-1</v>
      </c>
      <c r="L14" s="1">
        <v>-1</v>
      </c>
      <c r="M14" s="1">
        <v>59</v>
      </c>
      <c r="N14" s="1">
        <v>87.6</v>
      </c>
      <c r="O14" s="1">
        <v>108.8</v>
      </c>
      <c r="P14" s="1">
        <v>29.1</v>
      </c>
      <c r="Q14" s="1">
        <v>43.3</v>
      </c>
      <c r="R14" s="1">
        <v>53.7</v>
      </c>
      <c r="S14" s="1">
        <v>87.6</v>
      </c>
      <c r="T14" s="1">
        <v>108.8</v>
      </c>
      <c r="U14" s="1">
        <v>43.3</v>
      </c>
      <c r="V14" s="1">
        <v>53.7</v>
      </c>
      <c r="W14" s="1">
        <v>53.7</v>
      </c>
      <c r="X14" s="46">
        <v>45085</v>
      </c>
    </row>
    <row r="15" spans="1:24" x14ac:dyDescent="0.3">
      <c r="A15" s="1" t="s">
        <v>20</v>
      </c>
      <c r="B15" s="1">
        <v>20030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28.5</v>
      </c>
      <c r="H15" s="1">
        <v>42.3</v>
      </c>
      <c r="I15" s="1">
        <v>52.3</v>
      </c>
      <c r="J15" s="1">
        <v>-1</v>
      </c>
      <c r="K15" s="1">
        <v>-1</v>
      </c>
      <c r="L15" s="1">
        <v>-1</v>
      </c>
      <c r="M15" s="1">
        <v>58.3</v>
      </c>
      <c r="N15" s="1">
        <v>85.4</v>
      </c>
      <c r="O15" s="1">
        <v>106.1</v>
      </c>
      <c r="P15" s="1">
        <v>28.5</v>
      </c>
      <c r="Q15" s="1">
        <v>42.3</v>
      </c>
      <c r="R15" s="1">
        <v>52.3</v>
      </c>
      <c r="S15" s="1">
        <v>85.4</v>
      </c>
      <c r="T15" s="1">
        <v>106.1</v>
      </c>
      <c r="U15" s="1">
        <v>42.3</v>
      </c>
      <c r="V15" s="1">
        <v>52.3</v>
      </c>
      <c r="W15" s="1">
        <v>52.3</v>
      </c>
      <c r="X15" s="46">
        <v>45071</v>
      </c>
    </row>
    <row r="16" spans="1:24" x14ac:dyDescent="0.3">
      <c r="A16" s="1" t="s">
        <v>9</v>
      </c>
      <c r="B16" s="1">
        <v>20008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6.6</v>
      </c>
      <c r="H16" s="1">
        <v>8.8000000000000007</v>
      </c>
      <c r="I16" s="1">
        <v>11</v>
      </c>
      <c r="J16" s="1">
        <v>-1</v>
      </c>
      <c r="K16" s="1">
        <v>-1</v>
      </c>
      <c r="L16" s="1">
        <v>-1</v>
      </c>
      <c r="M16" s="1">
        <v>13.3</v>
      </c>
      <c r="N16" s="1">
        <v>18</v>
      </c>
      <c r="O16" s="1">
        <v>22.5</v>
      </c>
      <c r="P16" s="1">
        <v>6.6</v>
      </c>
      <c r="Q16" s="1">
        <v>8.8000000000000007</v>
      </c>
      <c r="R16" s="1">
        <v>11</v>
      </c>
      <c r="S16" s="1">
        <v>18</v>
      </c>
      <c r="T16" s="1">
        <v>22.5</v>
      </c>
      <c r="U16" s="1">
        <v>8.8000000000000007</v>
      </c>
      <c r="V16" s="1">
        <v>11</v>
      </c>
      <c r="W16" s="1">
        <v>11</v>
      </c>
      <c r="X16" s="46">
        <v>45076</v>
      </c>
    </row>
    <row r="17" spans="1:24" x14ac:dyDescent="0.3">
      <c r="A17" s="1" t="s">
        <v>33</v>
      </c>
      <c r="B17" s="1">
        <v>21002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41.5</v>
      </c>
      <c r="H17" s="1">
        <v>61.4</v>
      </c>
      <c r="I17" s="1">
        <v>75</v>
      </c>
      <c r="J17" s="1">
        <v>-1</v>
      </c>
      <c r="K17" s="1">
        <v>-1</v>
      </c>
      <c r="L17" s="1">
        <v>-1</v>
      </c>
      <c r="M17" s="1">
        <v>84.6</v>
      </c>
      <c r="N17" s="1">
        <v>124.4</v>
      </c>
      <c r="O17" s="1">
        <v>151.5</v>
      </c>
      <c r="P17" s="1">
        <v>41.5</v>
      </c>
      <c r="Q17" s="1">
        <v>61.4</v>
      </c>
      <c r="R17" s="1">
        <v>75</v>
      </c>
      <c r="S17" s="1">
        <v>124.4</v>
      </c>
      <c r="T17" s="1">
        <v>151.5</v>
      </c>
      <c r="U17" s="1">
        <v>61.4</v>
      </c>
      <c r="V17" s="1">
        <v>75</v>
      </c>
      <c r="W17" s="1">
        <v>75</v>
      </c>
      <c r="X17" s="46">
        <v>45166</v>
      </c>
    </row>
    <row r="18" spans="1:24" x14ac:dyDescent="0.3">
      <c r="A18" s="1" t="s">
        <v>22</v>
      </c>
      <c r="B18" s="1">
        <v>20034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30.7</v>
      </c>
      <c r="H18" s="1">
        <v>45.5</v>
      </c>
      <c r="I18" s="1">
        <v>57</v>
      </c>
      <c r="J18" s="1">
        <v>-1</v>
      </c>
      <c r="K18" s="1">
        <v>-1</v>
      </c>
      <c r="L18" s="1">
        <v>-1</v>
      </c>
      <c r="M18" s="1">
        <v>62.5</v>
      </c>
      <c r="N18" s="1">
        <v>92.1</v>
      </c>
      <c r="O18" s="1">
        <v>115.1</v>
      </c>
      <c r="P18" s="1">
        <v>30.7</v>
      </c>
      <c r="Q18" s="1">
        <v>45.5</v>
      </c>
      <c r="R18" s="1">
        <v>57</v>
      </c>
      <c r="S18" s="1">
        <v>92.1</v>
      </c>
      <c r="T18" s="1">
        <v>115.1</v>
      </c>
      <c r="U18" s="1">
        <v>45.5</v>
      </c>
      <c r="V18" s="1">
        <v>57</v>
      </c>
      <c r="W18" s="1">
        <v>57</v>
      </c>
      <c r="X18" s="46">
        <v>45099</v>
      </c>
    </row>
    <row r="19" spans="1:24" x14ac:dyDescent="0.3">
      <c r="A19" s="1" t="s">
        <v>35</v>
      </c>
      <c r="B19" s="1">
        <v>21006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44.5</v>
      </c>
      <c r="H19" s="1">
        <v>65.900000000000006</v>
      </c>
      <c r="I19" s="1">
        <v>81.8</v>
      </c>
      <c r="J19" s="1">
        <v>-1</v>
      </c>
      <c r="K19" s="1">
        <v>-1</v>
      </c>
      <c r="L19" s="1">
        <v>-1</v>
      </c>
      <c r="M19" s="1">
        <v>89.9</v>
      </c>
      <c r="N19" s="1">
        <v>133.4</v>
      </c>
      <c r="O19" s="1">
        <v>165.3</v>
      </c>
      <c r="P19" s="1">
        <v>44.5</v>
      </c>
      <c r="Q19" s="1">
        <v>65.900000000000006</v>
      </c>
      <c r="R19" s="1">
        <v>81.8</v>
      </c>
      <c r="S19" s="1">
        <v>133.4</v>
      </c>
      <c r="T19" s="1">
        <v>165.3</v>
      </c>
      <c r="U19" s="1">
        <v>65.900000000000006</v>
      </c>
      <c r="V19" s="1">
        <v>81.8</v>
      </c>
      <c r="W19" s="1">
        <v>81.8</v>
      </c>
      <c r="X19" s="46">
        <v>45160</v>
      </c>
    </row>
    <row r="20" spans="1:24" x14ac:dyDescent="0.3">
      <c r="A20" s="1" t="s">
        <v>36</v>
      </c>
      <c r="B20" s="1">
        <v>21008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47.3</v>
      </c>
      <c r="H20" s="1">
        <v>70.400000000000006</v>
      </c>
      <c r="I20" s="1">
        <v>86.4</v>
      </c>
      <c r="J20" s="1">
        <v>-1</v>
      </c>
      <c r="K20" s="1">
        <v>-1</v>
      </c>
      <c r="L20" s="1">
        <v>-1</v>
      </c>
      <c r="M20" s="1">
        <v>95.6</v>
      </c>
      <c r="N20" s="1">
        <v>142.5</v>
      </c>
      <c r="O20" s="1">
        <v>174.2</v>
      </c>
      <c r="P20" s="1">
        <v>47.3</v>
      </c>
      <c r="Q20" s="1">
        <v>70.400000000000006</v>
      </c>
      <c r="R20" s="1">
        <v>86.4</v>
      </c>
      <c r="S20" s="1">
        <v>142.5</v>
      </c>
      <c r="T20" s="1">
        <v>174.2</v>
      </c>
      <c r="U20" s="1">
        <v>70.400000000000006</v>
      </c>
      <c r="V20" s="1">
        <v>86.4</v>
      </c>
      <c r="W20" s="1">
        <v>86.4</v>
      </c>
      <c r="X20" s="46">
        <v>45179</v>
      </c>
    </row>
    <row r="21" spans="1:24" x14ac:dyDescent="0.3">
      <c r="A21" s="1" t="s">
        <v>32</v>
      </c>
      <c r="B21" s="1">
        <v>21000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-1</v>
      </c>
      <c r="H21" s="1">
        <v>-1</v>
      </c>
      <c r="I21" s="1">
        <v>-1</v>
      </c>
      <c r="J21" s="1">
        <v>-1</v>
      </c>
      <c r="K21" s="1">
        <v>-1</v>
      </c>
      <c r="L21" s="1">
        <v>-1</v>
      </c>
      <c r="M21" s="1">
        <v>-1</v>
      </c>
      <c r="N21" s="1">
        <v>-1</v>
      </c>
      <c r="O21" s="1">
        <v>-1</v>
      </c>
      <c r="P21" s="1">
        <v>-1</v>
      </c>
      <c r="Q21" s="1">
        <v>-1</v>
      </c>
      <c r="R21" s="1">
        <v>-1</v>
      </c>
      <c r="S21" s="1">
        <v>-1</v>
      </c>
      <c r="T21" s="1">
        <v>-1</v>
      </c>
      <c r="U21" s="1">
        <v>-1</v>
      </c>
      <c r="V21" s="1">
        <v>-1</v>
      </c>
      <c r="W21" s="1">
        <v>-1</v>
      </c>
      <c r="X21" s="46">
        <v>45143</v>
      </c>
    </row>
    <row r="22" spans="1:24" x14ac:dyDescent="0.3">
      <c r="A22" s="1" t="s">
        <v>24</v>
      </c>
      <c r="B22" s="1">
        <v>20038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34.700000000000003</v>
      </c>
      <c r="H22" s="1">
        <v>52.3</v>
      </c>
      <c r="I22" s="1">
        <v>63.6</v>
      </c>
      <c r="J22" s="1">
        <v>-1</v>
      </c>
      <c r="K22" s="1">
        <v>-1</v>
      </c>
      <c r="L22" s="1">
        <v>-1</v>
      </c>
      <c r="M22" s="1">
        <v>70.8</v>
      </c>
      <c r="N22" s="1">
        <v>106.1</v>
      </c>
      <c r="O22" s="1">
        <v>128.6</v>
      </c>
      <c r="P22" s="1">
        <v>34.700000000000003</v>
      </c>
      <c r="Q22" s="1">
        <v>52.3</v>
      </c>
      <c r="R22" s="1">
        <v>63.6</v>
      </c>
      <c r="S22" s="1">
        <v>106.1</v>
      </c>
      <c r="T22" s="1">
        <v>128.6</v>
      </c>
      <c r="U22" s="1">
        <v>52.3</v>
      </c>
      <c r="V22" s="1">
        <v>63.6</v>
      </c>
      <c r="W22" s="1">
        <v>63.6</v>
      </c>
      <c r="X22" s="46">
        <v>45079</v>
      </c>
    </row>
    <row r="23" spans="1:24" x14ac:dyDescent="0.3">
      <c r="A23" s="1" t="s">
        <v>31</v>
      </c>
      <c r="B23" s="1">
        <v>20060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45</v>
      </c>
      <c r="H23" s="1">
        <v>65.900000000000006</v>
      </c>
      <c r="I23" s="1">
        <v>79.400000000000006</v>
      </c>
      <c r="J23" s="1">
        <v>-1</v>
      </c>
      <c r="K23" s="1">
        <v>-1</v>
      </c>
      <c r="L23" s="1">
        <v>-1</v>
      </c>
      <c r="M23" s="1">
        <v>90.9</v>
      </c>
      <c r="N23" s="1">
        <v>133.4</v>
      </c>
      <c r="O23" s="1">
        <v>160.9</v>
      </c>
      <c r="P23" s="1">
        <v>45</v>
      </c>
      <c r="Q23" s="1">
        <v>65.900000000000006</v>
      </c>
      <c r="R23" s="1">
        <v>79.400000000000006</v>
      </c>
      <c r="S23" s="1">
        <v>133.4</v>
      </c>
      <c r="T23" s="1">
        <v>160.9</v>
      </c>
      <c r="U23" s="1">
        <v>65.900000000000006</v>
      </c>
      <c r="V23" s="1">
        <v>79.400000000000006</v>
      </c>
      <c r="W23" s="1">
        <v>79.400000000000006</v>
      </c>
      <c r="X23" s="46">
        <v>45157</v>
      </c>
    </row>
    <row r="24" spans="1:24" x14ac:dyDescent="0.3">
      <c r="A24" s="1" t="s">
        <v>10</v>
      </c>
      <c r="B24" s="1">
        <v>20010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7.1</v>
      </c>
      <c r="H24" s="1">
        <v>10.4</v>
      </c>
      <c r="I24" s="1">
        <v>12.8</v>
      </c>
      <c r="J24" s="1">
        <v>-1</v>
      </c>
      <c r="K24" s="1">
        <v>-1</v>
      </c>
      <c r="L24" s="1">
        <v>-1</v>
      </c>
      <c r="M24" s="1">
        <v>14.4</v>
      </c>
      <c r="N24" s="1">
        <v>21.5</v>
      </c>
      <c r="O24" s="1">
        <v>26.1</v>
      </c>
      <c r="P24" s="1">
        <v>7.1</v>
      </c>
      <c r="Q24" s="1">
        <v>10.4</v>
      </c>
      <c r="R24" s="1">
        <v>12.8</v>
      </c>
      <c r="S24" s="1">
        <v>21.5</v>
      </c>
      <c r="T24" s="1">
        <v>26.1</v>
      </c>
      <c r="U24" s="1">
        <v>10.4</v>
      </c>
      <c r="V24" s="1">
        <v>12.8</v>
      </c>
      <c r="W24" s="1">
        <v>12.8</v>
      </c>
      <c r="X24" s="46">
        <v>45057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8</v>
      </c>
      <c r="B26" s="1">
        <v>20006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4.9000000000000004</v>
      </c>
      <c r="H26" s="1">
        <v>6.6</v>
      </c>
      <c r="I26" s="1">
        <v>8.1</v>
      </c>
      <c r="J26" s="1">
        <v>-1</v>
      </c>
      <c r="K26" s="1">
        <v>-1</v>
      </c>
      <c r="L26" s="1">
        <v>-1</v>
      </c>
      <c r="M26" s="1">
        <v>10</v>
      </c>
      <c r="N26" s="1">
        <v>13.3</v>
      </c>
      <c r="O26" s="1">
        <v>17</v>
      </c>
      <c r="P26" s="1">
        <v>4.9000000000000004</v>
      </c>
      <c r="Q26" s="1">
        <v>6.6</v>
      </c>
      <c r="R26" s="1">
        <v>8.1</v>
      </c>
      <c r="S26" s="1">
        <v>13.3</v>
      </c>
      <c r="T26" s="1">
        <v>17</v>
      </c>
      <c r="U26" s="1">
        <v>6.6</v>
      </c>
      <c r="V26" s="1">
        <v>8.1</v>
      </c>
      <c r="W26" s="1">
        <v>8.1</v>
      </c>
      <c r="X26" s="46">
        <v>45059</v>
      </c>
    </row>
    <row r="27" spans="1:24" x14ac:dyDescent="0.3">
      <c r="A27" s="1" t="s">
        <v>37</v>
      </c>
      <c r="B27" s="1">
        <v>21012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49.1</v>
      </c>
      <c r="H27" s="1">
        <v>72.8</v>
      </c>
      <c r="I27" s="1">
        <v>90.9</v>
      </c>
      <c r="J27" s="1">
        <v>-1</v>
      </c>
      <c r="K27" s="1">
        <v>-1</v>
      </c>
      <c r="L27" s="1">
        <v>-1</v>
      </c>
      <c r="M27" s="1">
        <v>99.5</v>
      </c>
      <c r="N27" s="1">
        <v>146.80000000000001</v>
      </c>
      <c r="O27" s="1">
        <v>183.5</v>
      </c>
      <c r="P27" s="1">
        <v>49.1</v>
      </c>
      <c r="Q27" s="1">
        <v>72.8</v>
      </c>
      <c r="R27" s="1">
        <v>90.9</v>
      </c>
      <c r="S27" s="1">
        <v>146.80000000000001</v>
      </c>
      <c r="T27" s="1">
        <v>183.5</v>
      </c>
      <c r="U27" s="1">
        <v>72.8</v>
      </c>
      <c r="V27" s="1">
        <v>90.9</v>
      </c>
      <c r="W27" s="1">
        <v>90.9</v>
      </c>
      <c r="X27" s="46">
        <v>45143</v>
      </c>
    </row>
    <row r="28" spans="1:24" x14ac:dyDescent="0.3">
      <c r="A28" s="1" t="s">
        <v>34</v>
      </c>
      <c r="B28" s="1">
        <v>21004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43.3</v>
      </c>
      <c r="H28" s="1">
        <v>63.6</v>
      </c>
      <c r="I28" s="1">
        <v>79.400000000000006</v>
      </c>
      <c r="J28" s="1">
        <v>-1</v>
      </c>
      <c r="K28" s="1">
        <v>-1</v>
      </c>
      <c r="L28" s="1">
        <v>-1</v>
      </c>
      <c r="M28" s="1">
        <v>87.6</v>
      </c>
      <c r="N28" s="1">
        <v>128.6</v>
      </c>
      <c r="O28" s="1">
        <v>160.9</v>
      </c>
      <c r="P28" s="1">
        <v>43.3</v>
      </c>
      <c r="Q28" s="1">
        <v>63.6</v>
      </c>
      <c r="R28" s="1">
        <v>79.400000000000006</v>
      </c>
      <c r="S28" s="1">
        <v>128.6</v>
      </c>
      <c r="T28" s="1">
        <v>160.9</v>
      </c>
      <c r="U28" s="1">
        <v>63.6</v>
      </c>
      <c r="V28" s="1">
        <v>79.400000000000006</v>
      </c>
      <c r="W28" s="1">
        <v>79.400000000000006</v>
      </c>
      <c r="X28" s="46">
        <v>45162</v>
      </c>
    </row>
    <row r="29" spans="1:24" x14ac:dyDescent="0.3">
      <c r="A29" s="1" t="s">
        <v>23</v>
      </c>
      <c r="B29" s="1">
        <v>20036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33.799999999999997</v>
      </c>
      <c r="H29" s="1">
        <v>50.1</v>
      </c>
      <c r="I29" s="1">
        <v>61.4</v>
      </c>
      <c r="J29" s="1">
        <v>-1</v>
      </c>
      <c r="K29" s="1">
        <v>-1</v>
      </c>
      <c r="L29" s="1">
        <v>-1</v>
      </c>
      <c r="M29" s="1">
        <v>67.900000000000006</v>
      </c>
      <c r="N29" s="1">
        <v>101.3</v>
      </c>
      <c r="O29" s="1">
        <v>124.4</v>
      </c>
      <c r="P29" s="1">
        <v>33.799999999999997</v>
      </c>
      <c r="Q29" s="1">
        <v>50.1</v>
      </c>
      <c r="R29" s="1">
        <v>61.4</v>
      </c>
      <c r="S29" s="1">
        <v>101.3</v>
      </c>
      <c r="T29" s="1">
        <v>124.4</v>
      </c>
      <c r="U29" s="1">
        <v>50.1</v>
      </c>
      <c r="V29" s="1">
        <v>61.4</v>
      </c>
      <c r="W29" s="1">
        <v>61.4</v>
      </c>
      <c r="X29" s="46">
        <v>45091</v>
      </c>
    </row>
    <row r="30" spans="1:24" x14ac:dyDescent="0.3">
      <c r="A30" s="1" t="s">
        <v>41</v>
      </c>
      <c r="B30" s="1">
        <v>20042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38</v>
      </c>
      <c r="H30" s="1">
        <v>57.2</v>
      </c>
      <c r="I30" s="1">
        <v>68.7</v>
      </c>
      <c r="J30" s="1">
        <v>-1</v>
      </c>
      <c r="K30" s="1">
        <v>-1</v>
      </c>
      <c r="L30" s="1">
        <v>-1</v>
      </c>
      <c r="M30" s="1">
        <v>76.599999999999994</v>
      </c>
      <c r="N30" s="1">
        <v>115.5</v>
      </c>
      <c r="O30" s="1">
        <v>138.80000000000001</v>
      </c>
      <c r="P30" s="1">
        <v>38</v>
      </c>
      <c r="Q30" s="1">
        <v>57.2</v>
      </c>
      <c r="R30" s="1">
        <v>68.7</v>
      </c>
      <c r="S30" s="1">
        <v>115.5</v>
      </c>
      <c r="T30" s="1">
        <v>138.80000000000001</v>
      </c>
      <c r="U30" s="1">
        <v>57.2</v>
      </c>
      <c r="V30" s="1">
        <v>68.7</v>
      </c>
      <c r="W30" s="1">
        <v>68.7</v>
      </c>
      <c r="X30" s="46">
        <v>45110</v>
      </c>
    </row>
    <row r="31" spans="1:24" x14ac:dyDescent="0.3">
      <c r="A31" s="1" t="s">
        <v>42</v>
      </c>
      <c r="B31" s="1">
        <v>21010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48.3</v>
      </c>
      <c r="H31" s="1">
        <v>72</v>
      </c>
      <c r="I31" s="1">
        <v>89</v>
      </c>
      <c r="J31" s="1">
        <v>-1</v>
      </c>
      <c r="K31" s="1">
        <v>-1</v>
      </c>
      <c r="L31" s="1">
        <v>-1</v>
      </c>
      <c r="M31" s="1">
        <v>97.9</v>
      </c>
      <c r="N31" s="1">
        <v>145.5</v>
      </c>
      <c r="O31" s="1">
        <v>179.8</v>
      </c>
      <c r="P31" s="1">
        <v>48.3</v>
      </c>
      <c r="Q31" s="1">
        <v>72</v>
      </c>
      <c r="R31" s="1">
        <v>89</v>
      </c>
      <c r="S31" s="1">
        <v>145.5</v>
      </c>
      <c r="T31" s="1">
        <v>179.8</v>
      </c>
      <c r="U31" s="1">
        <v>72</v>
      </c>
      <c r="V31" s="1">
        <v>89</v>
      </c>
      <c r="W31" s="1">
        <v>89</v>
      </c>
      <c r="X31" s="46">
        <v>45157</v>
      </c>
    </row>
    <row r="32" spans="1:24" x14ac:dyDescent="0.3">
      <c r="A32" s="1" t="s">
        <v>12</v>
      </c>
      <c r="B32" s="1">
        <v>20014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11.6</v>
      </c>
      <c r="H32" s="1">
        <v>17.3</v>
      </c>
      <c r="I32" s="1">
        <v>21.3</v>
      </c>
      <c r="J32" s="1">
        <v>-1</v>
      </c>
      <c r="K32" s="1">
        <v>-1</v>
      </c>
      <c r="L32" s="1">
        <v>-1</v>
      </c>
      <c r="M32" s="1">
        <v>23.6</v>
      </c>
      <c r="N32" s="1">
        <v>35.200000000000003</v>
      </c>
      <c r="O32" s="1">
        <v>43</v>
      </c>
      <c r="P32" s="1">
        <v>11.6</v>
      </c>
      <c r="Q32" s="1">
        <v>17.3</v>
      </c>
      <c r="R32" s="1">
        <v>21.3</v>
      </c>
      <c r="S32" s="1">
        <v>35.200000000000003</v>
      </c>
      <c r="T32" s="1">
        <v>43</v>
      </c>
      <c r="U32" s="1">
        <v>17.3</v>
      </c>
      <c r="V32" s="1">
        <v>21.3</v>
      </c>
      <c r="W32" s="1">
        <v>21.3</v>
      </c>
      <c r="X32" s="46">
        <v>45098</v>
      </c>
    </row>
    <row r="33" spans="1:24" x14ac:dyDescent="0.3">
      <c r="A33" s="1" t="s">
        <v>58</v>
      </c>
      <c r="B33" s="1">
        <v>20058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-1</v>
      </c>
      <c r="H33" s="1">
        <v>-1</v>
      </c>
      <c r="I33" s="1">
        <v>-1</v>
      </c>
      <c r="J33" s="1">
        <v>-1</v>
      </c>
      <c r="K33" s="1">
        <v>-1</v>
      </c>
      <c r="L33" s="1">
        <v>-1</v>
      </c>
      <c r="M33" s="1">
        <v>-1</v>
      </c>
      <c r="N33" s="1">
        <v>-1</v>
      </c>
      <c r="O33" s="1">
        <v>-1</v>
      </c>
      <c r="P33" s="1">
        <v>-1</v>
      </c>
      <c r="Q33" s="1">
        <v>-1</v>
      </c>
      <c r="R33" s="1">
        <v>-1</v>
      </c>
      <c r="S33" s="1">
        <v>-1</v>
      </c>
      <c r="T33" s="1">
        <v>-1</v>
      </c>
      <c r="U33" s="1">
        <v>-1</v>
      </c>
      <c r="V33" s="1">
        <v>-1</v>
      </c>
      <c r="W33" s="1">
        <v>-1</v>
      </c>
      <c r="X33" s="46">
        <v>45150</v>
      </c>
    </row>
    <row r="34" spans="1:24" x14ac:dyDescent="0.3">
      <c r="A34" s="1" t="s">
        <v>26</v>
      </c>
      <c r="B34" s="1">
        <v>20044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38.700000000000003</v>
      </c>
      <c r="H34" s="1">
        <v>59.2</v>
      </c>
      <c r="I34" s="1">
        <v>70.400000000000006</v>
      </c>
      <c r="J34" s="1">
        <v>-1</v>
      </c>
      <c r="K34" s="1">
        <v>-1</v>
      </c>
      <c r="L34" s="1">
        <v>-1</v>
      </c>
      <c r="M34" s="1">
        <v>78.599999999999994</v>
      </c>
      <c r="N34" s="1">
        <v>119.4</v>
      </c>
      <c r="O34" s="1">
        <v>142.5</v>
      </c>
      <c r="P34" s="1">
        <v>38.700000000000003</v>
      </c>
      <c r="Q34" s="1">
        <v>59.2</v>
      </c>
      <c r="R34" s="1">
        <v>70.400000000000006</v>
      </c>
      <c r="S34" s="1">
        <v>119.4</v>
      </c>
      <c r="T34" s="1">
        <v>142.5</v>
      </c>
      <c r="U34" s="1">
        <v>59.2</v>
      </c>
      <c r="V34" s="1">
        <v>70.400000000000006</v>
      </c>
      <c r="W34" s="1">
        <v>70.400000000000006</v>
      </c>
      <c r="X34" s="46">
        <v>45114</v>
      </c>
    </row>
    <row r="35" spans="1:24" x14ac:dyDescent="0.3">
      <c r="A35" s="1" t="s">
        <v>57</v>
      </c>
      <c r="B35" s="1">
        <v>20050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41.3</v>
      </c>
      <c r="H35" s="1">
        <v>61.4</v>
      </c>
      <c r="I35" s="1">
        <v>75</v>
      </c>
      <c r="J35" s="1">
        <v>-1</v>
      </c>
      <c r="K35" s="1">
        <v>-1</v>
      </c>
      <c r="L35" s="1">
        <v>-1</v>
      </c>
      <c r="M35" s="1">
        <v>83.5</v>
      </c>
      <c r="N35" s="1">
        <v>124.4</v>
      </c>
      <c r="O35" s="1">
        <v>151.5</v>
      </c>
      <c r="P35" s="1">
        <v>41.3</v>
      </c>
      <c r="Q35" s="1">
        <v>61.4</v>
      </c>
      <c r="R35" s="1">
        <v>75</v>
      </c>
      <c r="S35" s="1">
        <v>124.4</v>
      </c>
      <c r="T35" s="1">
        <v>151.5</v>
      </c>
      <c r="U35" s="1">
        <v>61.4</v>
      </c>
      <c r="V35" s="1">
        <v>75</v>
      </c>
      <c r="W35" s="1">
        <v>75</v>
      </c>
      <c r="X35" s="46">
        <v>45146</v>
      </c>
    </row>
    <row r="36" spans="1:24" x14ac:dyDescent="0.3">
      <c r="A36" s="1" t="s">
        <v>40</v>
      </c>
      <c r="B36" s="1">
        <v>20000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2.7</v>
      </c>
      <c r="H36" s="1">
        <v>3.6</v>
      </c>
      <c r="I36" s="1">
        <v>4.2</v>
      </c>
      <c r="J36" s="1">
        <v>-1</v>
      </c>
      <c r="K36" s="1">
        <v>-1</v>
      </c>
      <c r="L36" s="1">
        <v>-1</v>
      </c>
      <c r="M36" s="1">
        <v>5.3</v>
      </c>
      <c r="N36" s="1">
        <v>7.6</v>
      </c>
      <c r="O36" s="1">
        <v>8.9</v>
      </c>
      <c r="P36" s="1">
        <v>2.7</v>
      </c>
      <c r="Q36" s="1">
        <v>3.6</v>
      </c>
      <c r="R36" s="1">
        <v>4.2</v>
      </c>
      <c r="S36" s="1">
        <v>7.6</v>
      </c>
      <c r="T36" s="1">
        <v>8.9</v>
      </c>
      <c r="U36" s="1">
        <v>3.6</v>
      </c>
      <c r="V36" s="1">
        <v>4.2</v>
      </c>
      <c r="W36" s="1">
        <v>4.2</v>
      </c>
      <c r="X36" s="46">
        <v>45051</v>
      </c>
    </row>
    <row r="37" spans="1:24" x14ac:dyDescent="0.3">
      <c r="A37" s="1" t="s">
        <v>38</v>
      </c>
      <c r="B37" s="1">
        <v>21014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50.6</v>
      </c>
      <c r="H37" s="1">
        <v>75</v>
      </c>
      <c r="I37" s="1">
        <v>93.1</v>
      </c>
      <c r="J37" s="1">
        <v>-1</v>
      </c>
      <c r="K37" s="1">
        <v>-1</v>
      </c>
      <c r="L37" s="1">
        <v>-1</v>
      </c>
      <c r="M37" s="1">
        <v>102.6</v>
      </c>
      <c r="N37" s="1">
        <v>151.5</v>
      </c>
      <c r="O37" s="1">
        <v>188.1</v>
      </c>
      <c r="P37" s="1">
        <v>50.6</v>
      </c>
      <c r="Q37" s="1">
        <v>75</v>
      </c>
      <c r="R37" s="1">
        <v>93.1</v>
      </c>
      <c r="S37" s="1">
        <v>151.5</v>
      </c>
      <c r="T37" s="1">
        <v>188.1</v>
      </c>
      <c r="U37" s="1">
        <v>75</v>
      </c>
      <c r="V37" s="1">
        <v>93.1</v>
      </c>
      <c r="W37" s="1">
        <v>93.1</v>
      </c>
      <c r="X37" s="46">
        <v>45166</v>
      </c>
    </row>
    <row r="38" spans="1:24" x14ac:dyDescent="0.3">
      <c r="A38" s="1" t="s">
        <v>29</v>
      </c>
      <c r="B38" s="1">
        <v>20052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42.3</v>
      </c>
      <c r="H38" s="1">
        <v>61.4</v>
      </c>
      <c r="I38" s="1">
        <v>75</v>
      </c>
      <c r="J38" s="1">
        <v>-1</v>
      </c>
      <c r="K38" s="1">
        <v>-1</v>
      </c>
      <c r="L38" s="1">
        <v>-1</v>
      </c>
      <c r="M38" s="1">
        <v>85.4</v>
      </c>
      <c r="N38" s="1">
        <v>124.4</v>
      </c>
      <c r="O38" s="1">
        <v>151.5</v>
      </c>
      <c r="P38" s="1">
        <v>42.3</v>
      </c>
      <c r="Q38" s="1">
        <v>61.4</v>
      </c>
      <c r="R38" s="1">
        <v>75</v>
      </c>
      <c r="S38" s="1">
        <v>124.4</v>
      </c>
      <c r="T38" s="1">
        <v>151.5</v>
      </c>
      <c r="U38" s="1">
        <v>61.4</v>
      </c>
      <c r="V38" s="1">
        <v>75</v>
      </c>
      <c r="W38" s="1">
        <v>75</v>
      </c>
      <c r="X38" s="46">
        <v>45108</v>
      </c>
    </row>
    <row r="39" spans="1:24" x14ac:dyDescent="0.3">
      <c r="A39" s="1" t="s">
        <v>16</v>
      </c>
      <c r="B39" s="1">
        <v>20022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21.9</v>
      </c>
      <c r="H39" s="1">
        <v>32.1</v>
      </c>
      <c r="I39" s="1">
        <v>40.1</v>
      </c>
      <c r="J39" s="1">
        <v>-1</v>
      </c>
      <c r="K39" s="1">
        <v>-1</v>
      </c>
      <c r="L39" s="1">
        <v>-1</v>
      </c>
      <c r="M39" s="1">
        <v>42.3</v>
      </c>
      <c r="N39" s="1">
        <v>61.5</v>
      </c>
      <c r="O39" s="1">
        <v>76.599999999999994</v>
      </c>
      <c r="P39" s="1">
        <v>21.9</v>
      </c>
      <c r="Q39" s="1">
        <v>32.1</v>
      </c>
      <c r="R39" s="1">
        <v>40.1</v>
      </c>
      <c r="S39" s="1">
        <v>61.5</v>
      </c>
      <c r="T39" s="1">
        <v>76.599999999999994</v>
      </c>
      <c r="U39" s="1">
        <v>32.1</v>
      </c>
      <c r="V39" s="1">
        <v>40.1</v>
      </c>
      <c r="W39" s="1">
        <v>40.1</v>
      </c>
      <c r="X39" s="46">
        <v>45110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SUMIF(H2:H40,"&gt;20",H2:H40)</f>
        <v>1473</v>
      </c>
    </row>
  </sheetData>
  <autoFilter ref="A1:X41" xr:uid="{00000000-0001-0000-0000-000000000000}">
    <sortState xmlns:xlrd2="http://schemas.microsoft.com/office/spreadsheetml/2017/richdata2" ref="A2:X41">
      <sortCondition ref="A1:A41"/>
    </sortState>
  </autoFilter>
  <conditionalFormatting sqref="A1:A1048576">
    <cfRule type="duplicateValues" dxfId="19" priority="6"/>
  </conditionalFormatting>
  <conditionalFormatting sqref="B1:B1048576">
    <cfRule type="duplicateValues" dxfId="18" priority="5"/>
  </conditionalFormatting>
  <conditionalFormatting sqref="L18">
    <cfRule type="containsText" dxfId="16" priority="4" operator="containsText" text="0">
      <formula>NOT(ISERROR(SEARCH("0",L18)))</formula>
    </cfRule>
  </conditionalFormatting>
  <conditionalFormatting sqref="G2:W40">
    <cfRule type="beginsWith" dxfId="9" priority="1" operator="beginsWith" text="0">
      <formula>LEFT(G2,LEN("0"))="0"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3E57CDE1-2ACB-45A9-AE60-84F2A8184B2D}">
            <xm:f>LEFT(G2,LEN(-1))=-1</xm:f>
            <xm:f>-1</xm:f>
            <x14:dxf>
              <fill>
                <patternFill>
                  <bgColor rgb="FFFF0000"/>
                </patternFill>
              </fill>
            </x14:dxf>
          </x14:cfRule>
          <x14:cfRule type="containsText" priority="2" operator="containsText" id="{EF195CB9-C79A-4C22-824F-FE7CB2FE0522}">
            <xm:f>NOT(ISERROR(SEARCH(-1,G2)))</xm:f>
            <xm:f>-1</xm:f>
            <x14:dxf>
              <fill>
                <patternFill>
                  <bgColor rgb="FFFF0000"/>
                </patternFill>
              </fill>
            </x14:dxf>
          </x14:cfRule>
          <xm:sqref>G2:W40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21" sqref="C2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180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8" spans="1:5" x14ac:dyDescent="0.3">
      <c r="B8" s="1" t="s">
        <v>176</v>
      </c>
    </row>
    <row r="9" spans="1:5" x14ac:dyDescent="0.3">
      <c r="A9" s="1">
        <v>1</v>
      </c>
      <c r="B9" s="1" t="s">
        <v>177</v>
      </c>
    </row>
    <row r="10" spans="1:5" x14ac:dyDescent="0.3">
      <c r="A10" s="1">
        <v>2</v>
      </c>
      <c r="B10" s="1" t="s">
        <v>178</v>
      </c>
    </row>
    <row r="11" spans="1:5" x14ac:dyDescent="0.3">
      <c r="A11" s="1">
        <v>3</v>
      </c>
      <c r="B11" s="1" t="s">
        <v>179</v>
      </c>
    </row>
    <row r="12" spans="1:5" x14ac:dyDescent="0.3">
      <c r="A12" s="1">
        <v>4</v>
      </c>
      <c r="B12" s="1" t="s">
        <v>181</v>
      </c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X33"/>
  <sheetViews>
    <sheetView tabSelected="1" zoomScaleNormal="100" workbookViewId="0">
      <selection activeCell="J10" sqref="J1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24" ht="14.4" x14ac:dyDescent="0.3">
      <c r="A17" s="7" t="s">
        <v>22</v>
      </c>
      <c r="B17" s="12"/>
      <c r="C17" s="12"/>
      <c r="D17" s="12"/>
      <c r="E17" s="12"/>
      <c r="F17" s="8"/>
    </row>
    <row r="18" spans="1:24" ht="14.4" x14ac:dyDescent="0.3">
      <c r="A18" s="7" t="s">
        <v>23</v>
      </c>
      <c r="B18" s="12"/>
      <c r="C18" s="12"/>
      <c r="D18" s="12"/>
      <c r="E18" s="12"/>
      <c r="F18" s="8"/>
    </row>
    <row r="19" spans="1:24" ht="14.4" x14ac:dyDescent="0.3">
      <c r="A19" s="7" t="s">
        <v>24</v>
      </c>
      <c r="B19" s="12"/>
      <c r="C19" s="12"/>
      <c r="D19" s="12"/>
      <c r="E19" s="12"/>
      <c r="F19" s="8"/>
    </row>
    <row r="20" spans="1:24" ht="14.4" x14ac:dyDescent="0.3">
      <c r="A20" s="7" t="s">
        <v>28</v>
      </c>
      <c r="B20" s="12"/>
      <c r="C20" s="12"/>
      <c r="D20" s="12"/>
      <c r="E20" s="12"/>
      <c r="F20" s="8"/>
    </row>
    <row r="21" spans="1:24" ht="14.4" x14ac:dyDescent="0.3">
      <c r="A21" s="7" t="s">
        <v>57</v>
      </c>
      <c r="B21" s="12"/>
      <c r="C21" s="12"/>
      <c r="D21" s="12"/>
      <c r="E21" s="12"/>
      <c r="F21" s="8"/>
    </row>
    <row r="22" spans="1:24" ht="14.4" x14ac:dyDescent="0.3">
      <c r="A22" s="7" t="s">
        <v>58</v>
      </c>
      <c r="B22" s="12"/>
      <c r="C22" s="12"/>
      <c r="D22" s="12"/>
      <c r="E22" s="12"/>
      <c r="F22" s="8"/>
    </row>
    <row r="23" spans="1:24" ht="14.4" x14ac:dyDescent="0.3">
      <c r="A23" s="7" t="s">
        <v>31</v>
      </c>
      <c r="B23" s="12"/>
      <c r="C23" s="12"/>
      <c r="D23" s="12"/>
      <c r="E23" s="12"/>
      <c r="F23" s="8"/>
    </row>
    <row r="24" spans="1:24" ht="14.4" x14ac:dyDescent="0.3">
      <c r="A24" s="7" t="s">
        <v>32</v>
      </c>
      <c r="B24" s="12"/>
      <c r="C24" s="12"/>
      <c r="D24" s="12"/>
      <c r="E24" s="12"/>
      <c r="F24" s="8"/>
    </row>
    <row r="25" spans="1:24" ht="14.4" x14ac:dyDescent="0.3">
      <c r="A25" s="7" t="s">
        <v>34</v>
      </c>
      <c r="B25" s="12"/>
      <c r="C25" s="12"/>
      <c r="D25" s="12"/>
      <c r="E25" s="12"/>
      <c r="F25" s="8"/>
    </row>
    <row r="26" spans="1:24" ht="14.4" x14ac:dyDescent="0.3">
      <c r="A26" s="7" t="s">
        <v>37</v>
      </c>
      <c r="B26" s="12"/>
      <c r="C26" s="12"/>
      <c r="D26" s="12"/>
      <c r="E26" s="12"/>
      <c r="F26" s="8"/>
    </row>
    <row r="27" spans="1:24" ht="14.4" x14ac:dyDescent="0.3">
      <c r="A27" s="7" t="s">
        <v>39</v>
      </c>
      <c r="B27" s="12"/>
      <c r="C27" s="12"/>
      <c r="D27" s="12"/>
      <c r="E27" s="12"/>
      <c r="F27" s="8"/>
    </row>
    <row r="28" spans="1:24" ht="14.4" x14ac:dyDescent="0.3">
      <c r="A28" s="19" t="s">
        <v>82</v>
      </c>
      <c r="B28" s="31"/>
      <c r="C28" s="31"/>
      <c r="D28" s="31"/>
      <c r="E28" s="31"/>
      <c r="F28" s="31"/>
    </row>
    <row r="29" spans="1:24" ht="14.4" x14ac:dyDescent="0.3">
      <c r="A29" s="19" t="s">
        <v>83</v>
      </c>
      <c r="B29" s="31"/>
      <c r="C29" s="31"/>
      <c r="D29" s="31"/>
      <c r="E29" s="31"/>
      <c r="F29" s="31"/>
    </row>
    <row r="30" spans="1:24" ht="14.4" x14ac:dyDescent="0.3">
      <c r="A30" s="19" t="s">
        <v>84</v>
      </c>
      <c r="B30" s="31"/>
      <c r="C30" s="31"/>
      <c r="D30" s="31"/>
      <c r="E30" s="31"/>
      <c r="F30" s="31"/>
    </row>
    <row r="32" spans="1:24" s="3" customFormat="1" ht="14.7" customHeight="1" x14ac:dyDescent="0.3">
      <c r="A32" s="27" t="s">
        <v>64</v>
      </c>
      <c r="B32" s="27" t="s">
        <v>43</v>
      </c>
      <c r="C32" s="27" t="s">
        <v>0</v>
      </c>
      <c r="D32" s="28" t="s">
        <v>1</v>
      </c>
      <c r="E32" s="27" t="s">
        <v>2</v>
      </c>
      <c r="F32" s="28" t="s">
        <v>3</v>
      </c>
      <c r="G32" s="29" t="s">
        <v>79</v>
      </c>
      <c r="H32" s="29" t="s">
        <v>65</v>
      </c>
      <c r="I32" s="29" t="s">
        <v>66</v>
      </c>
      <c r="J32" s="30" t="s">
        <v>67</v>
      </c>
      <c r="K32" s="30" t="s">
        <v>68</v>
      </c>
      <c r="L32" s="30" t="s">
        <v>69</v>
      </c>
      <c r="M32" s="29" t="s">
        <v>70</v>
      </c>
      <c r="N32" s="29" t="s">
        <v>71</v>
      </c>
      <c r="O32" s="29" t="s">
        <v>72</v>
      </c>
      <c r="P32" s="30" t="s">
        <v>73</v>
      </c>
      <c r="Q32" s="30" t="s">
        <v>74</v>
      </c>
      <c r="R32" s="30" t="s">
        <v>75</v>
      </c>
      <c r="S32" s="29" t="s">
        <v>80</v>
      </c>
      <c r="T32" s="29" t="s">
        <v>76</v>
      </c>
      <c r="U32" s="30" t="s">
        <v>81</v>
      </c>
      <c r="V32" s="30" t="s">
        <v>77</v>
      </c>
      <c r="W32" s="30" t="s">
        <v>78</v>
      </c>
      <c r="X32" s="45" t="s">
        <v>105</v>
      </c>
    </row>
    <row r="33" spans="1:24" s="1" customFormat="1" ht="14.4" x14ac:dyDescent="0.3">
      <c r="A33" s="1" t="s">
        <v>40</v>
      </c>
      <c r="B33" s="1">
        <v>20000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2.7</v>
      </c>
      <c r="H33" s="1">
        <v>3.6</v>
      </c>
      <c r="I33" s="1">
        <v>4.2</v>
      </c>
      <c r="J33" s="1">
        <v>-1</v>
      </c>
      <c r="K33" s="1">
        <v>-1</v>
      </c>
      <c r="L33" s="1">
        <v>-1</v>
      </c>
      <c r="M33" s="1">
        <v>5.3</v>
      </c>
      <c r="N33" s="1">
        <v>7.6</v>
      </c>
      <c r="O33" s="1">
        <v>8.9</v>
      </c>
      <c r="P33" s="1">
        <v>2.7</v>
      </c>
      <c r="Q33" s="1">
        <v>3.6</v>
      </c>
      <c r="R33" s="1">
        <v>4.2</v>
      </c>
      <c r="S33" s="1">
        <v>7.6</v>
      </c>
      <c r="T33" s="1">
        <v>8.9</v>
      </c>
      <c r="U33" s="1">
        <v>3.6</v>
      </c>
      <c r="V33" s="1">
        <v>4.2</v>
      </c>
      <c r="W33" s="1">
        <v>4.2</v>
      </c>
      <c r="X33" s="46">
        <v>45051</v>
      </c>
    </row>
  </sheetData>
  <conditionalFormatting sqref="A33">
    <cfRule type="duplicateValues" dxfId="6" priority="7"/>
  </conditionalFormatting>
  <conditionalFormatting sqref="B33">
    <cfRule type="duplicateValues" dxfId="5" priority="6"/>
  </conditionalFormatting>
  <conditionalFormatting sqref="G33:W33">
    <cfRule type="beginsWith" dxfId="2" priority="3" operator="beginsWith" text="0">
      <formula>LEFT(G33,LEN("0"))="0"</formula>
    </cfRule>
  </conditionalFormatting>
  <conditionalFormatting sqref="A32">
    <cfRule type="duplicateValues" dxfId="1" priority="2"/>
  </conditionalFormatting>
  <conditionalFormatting sqref="B32">
    <cfRule type="duplicateValues" dxfId="0" priority="1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2E97AF0D-F5EA-40A4-B5E5-E624113CAF63}">
            <xm:f>NOT(ISERROR(SEARCH(-1,G33)))</xm:f>
            <xm:f>-1</xm:f>
            <x14:dxf>
              <fill>
                <patternFill>
                  <bgColor rgb="FFFF0000"/>
                </patternFill>
              </fill>
            </x14:dxf>
          </x14:cfRule>
          <x14:cfRule type="beginsWith" priority="5" operator="beginsWith" id="{DA7A1B4E-543C-4E6D-9582-031F73E29096}">
            <xm:f>LEFT(G33,LEN(-1))=-1</xm:f>
            <xm:f>-1</xm:f>
            <x14:dxf>
              <fill>
                <patternFill>
                  <bgColor rgb="FFFF0000"/>
                </patternFill>
              </fill>
            </x14:dxf>
          </x14:cfRule>
          <xm:sqref>G33:W33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7" sqref="I1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 t="s">
        <v>182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183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184</v>
      </c>
    </row>
    <row r="7" spans="1:3" ht="14.4" x14ac:dyDescent="0.3">
      <c r="A7" s="3" t="s">
        <v>153</v>
      </c>
      <c r="B7" s="1" t="s">
        <v>185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3" zoomScaleNormal="100" workbookViewId="0">
      <selection activeCell="C24" sqref="C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 t="s">
        <v>99</v>
      </c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 t="e">
        <f>VLOOKUP(N10,A9:J18,B10:J18,TRUE)</f>
        <v>#REF!</v>
      </c>
    </row>
    <row r="24" spans="1:14" ht="14.4" x14ac:dyDescent="0.3">
      <c r="A24" s="7">
        <v>10100</v>
      </c>
      <c r="B24" s="12">
        <v>10104</v>
      </c>
      <c r="C24" s="44" t="str">
        <f>VLOOKUP(A24,M10:N19,2,FALSE)</f>
        <v>A</v>
      </c>
    </row>
    <row r="25" spans="1:14" ht="14.4" x14ac:dyDescent="0.3">
      <c r="A25" s="7">
        <v>10108</v>
      </c>
      <c r="B25" s="12">
        <v>10102</v>
      </c>
      <c r="C25" s="44" t="str">
        <f t="shared" ref="C24:C35" si="0">VLOOKUP(A25,M11:N20,2,FALSE)</f>
        <v>E</v>
      </c>
    </row>
    <row r="26" spans="1:14" ht="14.4" x14ac:dyDescent="0.3">
      <c r="A26" s="7">
        <v>10100</v>
      </c>
      <c r="B26" s="12">
        <v>10106</v>
      </c>
      <c r="C26" s="44" t="e">
        <f>VLOOKUP(A26,M12:N21,2,FALSE)</f>
        <v>#N/A</v>
      </c>
    </row>
    <row r="27" spans="1:14" ht="14.4" x14ac:dyDescent="0.3">
      <c r="A27" s="7">
        <v>10108</v>
      </c>
      <c r="B27" s="12">
        <v>10110</v>
      </c>
      <c r="C27" s="44" t="str">
        <f>VLOOKUP(A27,M13:N22,2,FALSE)</f>
        <v>E</v>
      </c>
    </row>
    <row r="28" spans="1:14" ht="14.4" x14ac:dyDescent="0.3">
      <c r="A28" s="7">
        <v>10102</v>
      </c>
      <c r="B28" s="12">
        <v>10104</v>
      </c>
      <c r="C28" s="44" t="e">
        <f>VLOOKUP(A28,M14:N23,2,FALSE)</f>
        <v>#N/A</v>
      </c>
    </row>
    <row r="29" spans="1:14" ht="14.4" x14ac:dyDescent="0.3">
      <c r="A29" s="7">
        <v>10106</v>
      </c>
      <c r="B29" s="12">
        <v>10108</v>
      </c>
      <c r="C29" s="44" t="e">
        <f t="shared" si="0"/>
        <v>#N/A</v>
      </c>
    </row>
    <row r="30" spans="1:14" ht="14.4" x14ac:dyDescent="0.3">
      <c r="A30" s="7">
        <v>10102</v>
      </c>
      <c r="B30" s="12">
        <v>10106</v>
      </c>
      <c r="C30" s="44" t="e">
        <f t="shared" si="0"/>
        <v>#N/A</v>
      </c>
    </row>
    <row r="31" spans="1:14" ht="14.4" x14ac:dyDescent="0.3">
      <c r="A31" s="7">
        <v>10110</v>
      </c>
      <c r="B31" s="12">
        <v>10114</v>
      </c>
      <c r="C31" s="44" t="e">
        <f t="shared" si="0"/>
        <v>#N/A</v>
      </c>
    </row>
    <row r="32" spans="1:14" ht="14.4" x14ac:dyDescent="0.3">
      <c r="A32" s="7">
        <v>10104</v>
      </c>
      <c r="B32" s="12">
        <v>10106</v>
      </c>
      <c r="C32" s="44" t="e">
        <f t="shared" si="0"/>
        <v>#N/A</v>
      </c>
    </row>
    <row r="33" spans="1:3" ht="14.4" x14ac:dyDescent="0.3">
      <c r="A33" s="7">
        <v>10110</v>
      </c>
      <c r="B33" s="12">
        <v>10112</v>
      </c>
      <c r="C33" s="44" t="e">
        <f t="shared" si="0"/>
        <v>#N/A</v>
      </c>
    </row>
    <row r="34" spans="1:3" ht="14.4" x14ac:dyDescent="0.3">
      <c r="A34" s="7">
        <v>10100</v>
      </c>
      <c r="B34" s="12">
        <v>10114</v>
      </c>
      <c r="C34" s="44" t="e">
        <f t="shared" si="0"/>
        <v>#N/A</v>
      </c>
    </row>
    <row r="35" spans="1:3" ht="14.4" x14ac:dyDescent="0.3">
      <c r="A35" s="9">
        <v>10112</v>
      </c>
      <c r="B35" s="13">
        <v>10116</v>
      </c>
      <c r="C35" s="44" t="e">
        <f>VLOOKUP(A35,M21:N30,2,FALSE)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Laxmi Kamati</cp:lastModifiedBy>
  <dcterms:created xsi:type="dcterms:W3CDTF">2015-02-10T17:33:11Z</dcterms:created>
  <dcterms:modified xsi:type="dcterms:W3CDTF">2023-12-10T14:07:34Z</dcterms:modified>
</cp:coreProperties>
</file>